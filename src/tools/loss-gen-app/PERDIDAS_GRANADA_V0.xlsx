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CITIC\SOFTWARE\loss-gen-app\"/>
    </mc:Choice>
  </mc:AlternateContent>
  <xr:revisionPtr revIDLastSave="0" documentId="8_{BC85280E-285A-451D-B26C-00A3D08224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RR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FY6xjLUCZG3cARmOUM3/YSR+Ds4Jw2u8XrW6iow8Ew0="/>
    </ext>
  </extLst>
</workbook>
</file>

<file path=xl/calcChain.xml><?xml version="1.0" encoding="utf-8"?>
<calcChain xmlns="http://schemas.openxmlformats.org/spreadsheetml/2006/main">
  <c r="F19" i="1" l="1"/>
  <c r="F12" i="1"/>
  <c r="G11" i="1"/>
  <c r="F11" i="1"/>
  <c r="K24" i="1"/>
  <c r="K25" i="1"/>
  <c r="K26" i="1"/>
  <c r="K23" i="1"/>
  <c r="K21" i="1"/>
  <c r="K22" i="1"/>
  <c r="L22" i="1" s="1"/>
  <c r="K16" i="1"/>
  <c r="L16" i="1" s="1"/>
  <c r="K17" i="1"/>
  <c r="L17" i="1" s="1"/>
  <c r="K18" i="1"/>
  <c r="K19" i="1"/>
  <c r="L19" i="1" s="1"/>
  <c r="K20" i="1"/>
  <c r="L20" i="1" s="1"/>
  <c r="K15" i="1"/>
  <c r="K12" i="1"/>
  <c r="K13" i="1"/>
  <c r="K14" i="1"/>
  <c r="K11" i="1"/>
  <c r="L11" i="1" s="1"/>
  <c r="K8" i="1"/>
  <c r="K9" i="1"/>
  <c r="K10" i="1"/>
  <c r="K7" i="1"/>
  <c r="H26" i="1"/>
  <c r="I26" i="1" s="1"/>
  <c r="H25" i="1"/>
  <c r="I25" i="1" s="1"/>
  <c r="H24" i="1"/>
  <c r="J24" i="1" s="1"/>
  <c r="H23" i="1"/>
  <c r="H22" i="1"/>
  <c r="H21" i="1"/>
  <c r="I21" i="1" s="1"/>
  <c r="H20" i="1"/>
  <c r="J20" i="1" s="1"/>
  <c r="H19" i="1"/>
  <c r="H10" i="1"/>
  <c r="J10" i="1" s="1"/>
  <c r="H9" i="1"/>
  <c r="I9" i="1" s="1"/>
  <c r="H8" i="1"/>
  <c r="I8" i="1" s="1"/>
  <c r="H7" i="1"/>
  <c r="J7" i="1" s="1"/>
  <c r="H18" i="1"/>
  <c r="H17" i="1"/>
  <c r="H16" i="1"/>
  <c r="J16" i="1" s="1"/>
  <c r="H15" i="1"/>
  <c r="J15" i="1" s="1"/>
  <c r="H14" i="1"/>
  <c r="I14" i="1" s="1"/>
  <c r="H13" i="1"/>
  <c r="J13" i="1" s="1"/>
  <c r="H12" i="1"/>
  <c r="H11" i="1"/>
  <c r="J22" i="1"/>
  <c r="J19" i="1"/>
  <c r="I18" i="1"/>
  <c r="J17" i="1"/>
  <c r="J12" i="1"/>
  <c r="J23" i="1"/>
  <c r="M24" i="1"/>
  <c r="M25" i="1"/>
  <c r="M26" i="1"/>
  <c r="M23" i="1"/>
  <c r="M20" i="1"/>
  <c r="M21" i="1"/>
  <c r="M22" i="1"/>
  <c r="M19" i="1"/>
  <c r="M16" i="1"/>
  <c r="M17" i="1"/>
  <c r="M18" i="1"/>
  <c r="M15" i="1"/>
  <c r="M12" i="1"/>
  <c r="M13" i="1"/>
  <c r="M14" i="1"/>
  <c r="M11" i="1"/>
  <c r="M8" i="1"/>
  <c r="M9" i="1"/>
  <c r="M1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7" i="1"/>
  <c r="M7" i="1"/>
  <c r="E8" i="1"/>
  <c r="G8" i="1" s="1"/>
  <c r="E9" i="1"/>
  <c r="G9" i="1" s="1"/>
  <c r="E10" i="1"/>
  <c r="G10" i="1" s="1"/>
  <c r="E11" i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7" i="1"/>
  <c r="G7" i="1" s="1"/>
  <c r="L26" i="1"/>
  <c r="L25" i="1"/>
  <c r="L24" i="1"/>
  <c r="L23" i="1"/>
  <c r="L21" i="1"/>
  <c r="L18" i="1"/>
  <c r="L15" i="1"/>
  <c r="L14" i="1"/>
  <c r="L13" i="1"/>
  <c r="L12" i="1"/>
  <c r="J11" i="1"/>
  <c r="L10" i="1"/>
  <c r="L9" i="1"/>
  <c r="L8" i="1"/>
  <c r="L7" i="1"/>
  <c r="F20" i="1" l="1"/>
  <c r="F13" i="1"/>
  <c r="F21" i="1"/>
  <c r="F14" i="1"/>
  <c r="F22" i="1"/>
  <c r="F7" i="1"/>
  <c r="F15" i="1"/>
  <c r="F23" i="1"/>
  <c r="F8" i="1"/>
  <c r="Q8" i="1" s="1"/>
  <c r="S8" i="1" s="1"/>
  <c r="F16" i="1"/>
  <c r="F24" i="1"/>
  <c r="F9" i="1"/>
  <c r="Q9" i="1" s="1"/>
  <c r="S9" i="1" s="1"/>
  <c r="F17" i="1"/>
  <c r="F25" i="1"/>
  <c r="Q25" i="1" s="1"/>
  <c r="S25" i="1" s="1"/>
  <c r="F10" i="1"/>
  <c r="F18" i="1"/>
  <c r="Q18" i="1" s="1"/>
  <c r="S18" i="1" s="1"/>
  <c r="F26" i="1"/>
  <c r="R22" i="1"/>
  <c r="T22" i="1" s="1"/>
  <c r="R12" i="1"/>
  <c r="T12" i="1" s="1"/>
  <c r="I13" i="1"/>
  <c r="Q13" i="1" s="1"/>
  <c r="S13" i="1" s="1"/>
  <c r="I23" i="1"/>
  <c r="Q26" i="1"/>
  <c r="S26" i="1" s="1"/>
  <c r="R7" i="1"/>
  <c r="T7" i="1" s="1"/>
  <c r="R23" i="1"/>
  <c r="T23" i="1" s="1"/>
  <c r="R11" i="1"/>
  <c r="T11" i="1" s="1"/>
  <c r="Q14" i="1"/>
  <c r="S14" i="1" s="1"/>
  <c r="J18" i="1"/>
  <c r="R18" i="1" s="1"/>
  <c r="T18" i="1" s="1"/>
  <c r="J9" i="1"/>
  <c r="R9" i="1" s="1"/>
  <c r="T9" i="1" s="1"/>
  <c r="I12" i="1"/>
  <c r="Q12" i="1" s="1"/>
  <c r="S12" i="1" s="1"/>
  <c r="R20" i="1"/>
  <c r="T20" i="1" s="1"/>
  <c r="J25" i="1"/>
  <c r="R25" i="1" s="1"/>
  <c r="T25" i="1" s="1"/>
  <c r="I19" i="1"/>
  <c r="J14" i="1"/>
  <c r="R14" i="1" s="1"/>
  <c r="T14" i="1" s="1"/>
  <c r="J21" i="1"/>
  <c r="R19" i="1"/>
  <c r="T19" i="1" s="1"/>
  <c r="J26" i="1"/>
  <c r="R26" i="1" s="1"/>
  <c r="T26" i="1" s="1"/>
  <c r="I17" i="1"/>
  <c r="I11" i="1"/>
  <c r="Q11" i="1" s="1"/>
  <c r="S11" i="1" s="1"/>
  <c r="I20" i="1"/>
  <c r="Q21" i="1"/>
  <c r="S21" i="1" s="1"/>
  <c r="R17" i="1"/>
  <c r="T17" i="1" s="1"/>
  <c r="R13" i="1"/>
  <c r="T13" i="1" s="1"/>
  <c r="R16" i="1"/>
  <c r="T16" i="1" s="1"/>
  <c r="I16" i="1"/>
  <c r="Q16" i="1" s="1"/>
  <c r="S16" i="1" s="1"/>
  <c r="J8" i="1"/>
  <c r="R8" i="1" s="1"/>
  <c r="T8" i="1" s="1"/>
  <c r="R10" i="1"/>
  <c r="T10" i="1" s="1"/>
  <c r="R15" i="1"/>
  <c r="T15" i="1" s="1"/>
  <c r="I7" i="1"/>
  <c r="I15" i="1"/>
  <c r="I22" i="1"/>
  <c r="Q22" i="1" s="1"/>
  <c r="S22" i="1" s="1"/>
  <c r="R24" i="1"/>
  <c r="T24" i="1" s="1"/>
  <c r="I10" i="1"/>
  <c r="I24" i="1"/>
  <c r="Q7" i="1" l="1"/>
  <c r="S7" i="1" s="1"/>
  <c r="Q23" i="1"/>
  <c r="S23" i="1" s="1"/>
  <c r="Q17" i="1"/>
  <c r="S17" i="1" s="1"/>
  <c r="R21" i="1"/>
  <c r="T21" i="1" s="1"/>
  <c r="Q24" i="1"/>
  <c r="S24" i="1" s="1"/>
  <c r="Q10" i="1"/>
  <c r="S10" i="1" s="1"/>
  <c r="Q20" i="1"/>
  <c r="S20" i="1" s="1"/>
  <c r="Q19" i="1"/>
  <c r="S19" i="1" s="1"/>
  <c r="Q15" i="1"/>
  <c r="S15" i="1" s="1"/>
  <c r="Q27" i="1" l="1"/>
  <c r="Q28" i="1"/>
  <c r="R28" i="1"/>
  <c r="R27" i="1"/>
  <c r="T27" i="1"/>
  <c r="T28" i="1"/>
  <c r="S27" i="1"/>
  <c r="S28" i="1"/>
  <c r="S29" i="1" l="1"/>
  <c r="T29" i="1"/>
</calcChain>
</file>

<file path=xl/sharedStrings.xml><?xml version="1.0" encoding="utf-8"?>
<sst xmlns="http://schemas.openxmlformats.org/spreadsheetml/2006/main" count="92" uniqueCount="47">
  <si>
    <t>PISO</t>
  </si>
  <si>
    <t>APARTAMENTO</t>
  </si>
  <si>
    <t>UI</t>
  </si>
  <si>
    <t>TOMA#</t>
  </si>
  <si>
    <t>Cable RG11/T165</t>
  </si>
  <si>
    <t>Cable RG6/100X</t>
  </si>
  <si>
    <t>Conectores</t>
  </si>
  <si>
    <t>Derivador</t>
  </si>
  <si>
    <t>Repartidor</t>
  </si>
  <si>
    <t>Toma</t>
  </si>
  <si>
    <t>Amplificador</t>
  </si>
  <si>
    <t>Perdida</t>
  </si>
  <si>
    <t>NIVEL DE SEÑAL</t>
  </si>
  <si>
    <t>47-70</t>
  </si>
  <si>
    <t>Dist. (m)</t>
  </si>
  <si>
    <t>Baja</t>
  </si>
  <si>
    <t xml:space="preserve">Alta </t>
  </si>
  <si>
    <t>Distancia</t>
  </si>
  <si>
    <t>Perdidas</t>
  </si>
  <si>
    <t>Cantidad</t>
  </si>
  <si>
    <t>Alta</t>
  </si>
  <si>
    <t>IDEAL</t>
  </si>
  <si>
    <t>470 MHz</t>
  </si>
  <si>
    <t>698 MHz</t>
  </si>
  <si>
    <t>m</t>
  </si>
  <si>
    <t>Min (dB)  470MHz</t>
  </si>
  <si>
    <t>Max (dB)  698MHz</t>
  </si>
  <si>
    <t>un</t>
  </si>
  <si>
    <t>dB</t>
  </si>
  <si>
    <t>Nivel  de Señal</t>
  </si>
  <si>
    <t>470MHz</t>
  </si>
  <si>
    <t>698MHz</t>
  </si>
  <si>
    <t>T1</t>
  </si>
  <si>
    <t>PISO 5</t>
  </si>
  <si>
    <t>PISO 4</t>
  </si>
  <si>
    <t>PISO 3</t>
  </si>
  <si>
    <t>PISO 2</t>
  </si>
  <si>
    <t>PISO 1</t>
  </si>
  <si>
    <t>MAX NIVEL  (dB)</t>
  </si>
  <si>
    <t>MAX NIVEL  (dBuV)</t>
  </si>
  <si>
    <t>MIN NIVEL  (dB)</t>
  </si>
  <si>
    <t>MIN NIVEL  (dBuV)</t>
  </si>
  <si>
    <t>DIFERENCIA ENTRE MAX Y MIN</t>
  </si>
  <si>
    <t>APTO-TP-01</t>
  </si>
  <si>
    <t>APTO-TP-02</t>
  </si>
  <si>
    <t>TORRE 1</t>
  </si>
  <si>
    <t>PROYECTO GRANADA TORRE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</si>
</sst>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10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3" borderId="12" xfId="0" applyFont="1" applyFill="1" applyBorder="1" applyAlignment="1">
      <alignment horizontal="center" vertical="center"/>
    </xf>
    <xf numFmtId="0" fontId="1" fillId="0" borderId="10" xfId="0" applyFont="1" applyBorder="1"/>
    <xf numFmtId="0" fontId="4" fillId="0" borderId="5" xfId="0" applyFont="1" applyBorder="1"/>
    <xf numFmtId="0" fontId="4" fillId="3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1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" fillId="0" borderId="10" xfId="0" applyFont="1" applyBorder="1" applyAlignment="1">
      <alignment horizontal="right"/>
    </xf>
    <xf numFmtId="164" fontId="1" fillId="0" borderId="10" xfId="0" applyNumberFormat="1" applyFont="1" applyBorder="1"/>
    <xf numFmtId="0" fontId="1" fillId="0" borderId="3" xfId="0" applyFont="1" applyBorder="1"/>
    <xf numFmtId="164" fontId="1" fillId="0" borderId="3" xfId="0" applyNumberFormat="1" applyFont="1" applyBorder="1"/>
    <xf numFmtId="0" fontId="1" fillId="0" borderId="0" xfId="0" applyFont="1" applyAlignment="1">
      <alignment horizontal="center" vertical="center" textRotation="90"/>
    </xf>
    <xf numFmtId="2" fontId="1" fillId="0" borderId="10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2" xfId="0" applyFont="1" applyBorder="1" applyAlignment="1">
      <alignment horizontal="center" vertical="center" textRotation="90"/>
    </xf>
    <xf numFmtId="0" fontId="2" fillId="0" borderId="6" xfId="0" applyFont="1" applyBorder="1"/>
    <xf numFmtId="0" fontId="2" fillId="0" borderId="11" xfId="0" applyFont="1" applyBorder="1"/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4" fillId="3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4" fillId="0" borderId="3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rgb="FFAEABAB"/>
          <bgColor rgb="FFAEABAB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7"/>
  <sheetViews>
    <sheetView tabSelected="1" workbookViewId="0">
      <selection activeCell="O30" sqref="O30"/>
    </sheetView>
  </sheetViews>
  <sheetFormatPr defaultColWidth="14.42578125" defaultRowHeight="15" customHeight="1" x14ac:dyDescent="0.25"/>
  <cols>
    <col min="1" max="1" width="2.85546875" customWidth="1"/>
    <col min="2" max="2" width="5.140625" customWidth="1"/>
    <col min="3" max="3" width="13.5703125" customWidth="1"/>
    <col min="4" max="4" width="8" customWidth="1"/>
    <col min="5" max="5" width="9.140625" customWidth="1"/>
    <col min="6" max="6" width="7.7109375" customWidth="1"/>
    <col min="7" max="7" width="7.85546875" customWidth="1"/>
    <col min="8" max="8" width="15" customWidth="1"/>
    <col min="9" max="9" width="15.140625" customWidth="1"/>
    <col min="10" max="15" width="10.7109375" customWidth="1"/>
    <col min="16" max="16" width="15.85546875" customWidth="1"/>
    <col min="17" max="23" width="10.7109375" customWidth="1"/>
  </cols>
  <sheetData>
    <row r="1" spans="1:22" x14ac:dyDescent="0.25">
      <c r="A1" s="22"/>
      <c r="B1" s="1"/>
      <c r="C1" s="24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2" ht="18.75" x14ac:dyDescent="0.25">
      <c r="A2" s="23"/>
      <c r="B2" s="26" t="s">
        <v>0</v>
      </c>
      <c r="C2" s="26" t="s">
        <v>1</v>
      </c>
      <c r="D2" s="29" t="s">
        <v>46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1"/>
      <c r="V2" s="2" t="s">
        <v>2</v>
      </c>
    </row>
    <row r="3" spans="1:22" x14ac:dyDescent="0.25">
      <c r="A3" s="23"/>
      <c r="B3" s="27"/>
      <c r="C3" s="27"/>
      <c r="D3" s="36" t="s">
        <v>3</v>
      </c>
      <c r="E3" s="32" t="s">
        <v>4</v>
      </c>
      <c r="F3" s="33"/>
      <c r="G3" s="34"/>
      <c r="H3" s="3" t="s">
        <v>5</v>
      </c>
      <c r="I3" s="38"/>
      <c r="J3" s="31"/>
      <c r="K3" s="38" t="s">
        <v>6</v>
      </c>
      <c r="L3" s="31"/>
      <c r="M3" s="3" t="s">
        <v>7</v>
      </c>
      <c r="N3" s="3" t="s">
        <v>8</v>
      </c>
      <c r="O3" s="3" t="s">
        <v>9</v>
      </c>
      <c r="P3" s="3" t="s">
        <v>10</v>
      </c>
      <c r="Q3" s="3" t="s">
        <v>11</v>
      </c>
      <c r="R3" s="5" t="s">
        <v>11</v>
      </c>
      <c r="S3" s="38" t="s">
        <v>12</v>
      </c>
      <c r="T3" s="31"/>
      <c r="U3" s="3" t="s">
        <v>13</v>
      </c>
    </row>
    <row r="4" spans="1:22" x14ac:dyDescent="0.25">
      <c r="A4" s="23"/>
      <c r="B4" s="27"/>
      <c r="C4" s="27"/>
      <c r="D4" s="28"/>
      <c r="E4" s="37" t="s">
        <v>14</v>
      </c>
      <c r="F4" s="6" t="s">
        <v>15</v>
      </c>
      <c r="G4" s="6" t="s">
        <v>16</v>
      </c>
      <c r="H4" s="3" t="s">
        <v>17</v>
      </c>
      <c r="I4" s="35" t="s">
        <v>18</v>
      </c>
      <c r="J4" s="31"/>
      <c r="K4" s="3" t="s">
        <v>19</v>
      </c>
      <c r="L4" s="3" t="s">
        <v>11</v>
      </c>
      <c r="M4" s="3"/>
      <c r="N4" s="3"/>
      <c r="O4" s="3"/>
      <c r="P4" s="3"/>
      <c r="Q4" s="3" t="s">
        <v>15</v>
      </c>
      <c r="R4" s="5" t="s">
        <v>20</v>
      </c>
      <c r="S4" s="39">
        <v>113</v>
      </c>
      <c r="T4" s="31"/>
      <c r="U4" s="7" t="s">
        <v>21</v>
      </c>
    </row>
    <row r="5" spans="1:22" x14ac:dyDescent="0.25">
      <c r="A5" s="23"/>
      <c r="B5" s="27"/>
      <c r="C5" s="27"/>
      <c r="D5" s="8"/>
      <c r="E5" s="28"/>
      <c r="F5" s="9" t="s">
        <v>22</v>
      </c>
      <c r="G5" s="9" t="s">
        <v>23</v>
      </c>
      <c r="H5" s="10" t="s">
        <v>24</v>
      </c>
      <c r="I5" s="3" t="s">
        <v>25</v>
      </c>
      <c r="J5" s="3" t="s">
        <v>26</v>
      </c>
      <c r="K5" s="10" t="s">
        <v>27</v>
      </c>
      <c r="L5" s="10" t="s">
        <v>28</v>
      </c>
      <c r="M5" s="10" t="s">
        <v>28</v>
      </c>
      <c r="N5" s="10" t="s">
        <v>28</v>
      </c>
      <c r="O5" s="10" t="s">
        <v>28</v>
      </c>
      <c r="P5" s="10" t="s">
        <v>29</v>
      </c>
      <c r="Q5" s="10" t="s">
        <v>28</v>
      </c>
      <c r="R5" s="4" t="s">
        <v>28</v>
      </c>
      <c r="S5" s="10" t="s">
        <v>30</v>
      </c>
      <c r="T5" s="10" t="s">
        <v>31</v>
      </c>
      <c r="U5" s="3">
        <v>58.5</v>
      </c>
    </row>
    <row r="6" spans="1:22" x14ac:dyDescent="0.25">
      <c r="A6" s="23"/>
      <c r="B6" s="28"/>
      <c r="C6" s="27"/>
      <c r="D6" s="8"/>
      <c r="E6" s="8"/>
      <c r="F6" s="8">
        <v>8.7999999999999995E-2</v>
      </c>
      <c r="G6" s="8">
        <v>0.109</v>
      </c>
      <c r="I6" s="7">
        <v>0.127</v>
      </c>
      <c r="J6" s="7">
        <v>0.15579999999999999</v>
      </c>
      <c r="K6" s="10"/>
      <c r="L6" s="11">
        <v>0.2</v>
      </c>
      <c r="M6" s="12"/>
      <c r="N6" s="10"/>
      <c r="O6" s="10"/>
      <c r="P6" s="10"/>
      <c r="Q6" s="10"/>
      <c r="R6" s="4"/>
      <c r="S6" s="10"/>
      <c r="T6" s="10"/>
      <c r="U6" s="13"/>
    </row>
    <row r="7" spans="1:22" ht="15" customHeight="1" x14ac:dyDescent="0.25">
      <c r="B7" s="26" t="s">
        <v>33</v>
      </c>
      <c r="C7" s="14" t="s">
        <v>43</v>
      </c>
      <c r="D7" s="15" t="s">
        <v>32</v>
      </c>
      <c r="E7" s="16">
        <f>30+21+56</f>
        <v>107</v>
      </c>
      <c r="F7" s="17">
        <f>E7*$F$6</f>
        <v>9.4159999999999986</v>
      </c>
      <c r="G7" s="17">
        <f>E7*$G$6</f>
        <v>11.663</v>
      </c>
      <c r="H7" s="10">
        <f>(3.5*1)+7+5.5</f>
        <v>16</v>
      </c>
      <c r="I7" s="17">
        <f t="shared" ref="I7:I26" si="0">H7*$I$6</f>
        <v>2.032</v>
      </c>
      <c r="J7" s="17">
        <f t="shared" ref="J7:J26" si="1">H7*$J$6</f>
        <v>2.4927999999999999</v>
      </c>
      <c r="K7" s="10">
        <f>(7*2)</f>
        <v>14</v>
      </c>
      <c r="L7" s="18">
        <f t="shared" ref="L7:L26" si="2">K7*$L$6</f>
        <v>2.8000000000000003</v>
      </c>
      <c r="M7" s="7">
        <f>10+3+3+10</f>
        <v>26</v>
      </c>
      <c r="N7" s="15">
        <f>8+4</f>
        <v>12</v>
      </c>
      <c r="O7" s="7">
        <v>1</v>
      </c>
      <c r="P7" s="7">
        <v>0</v>
      </c>
      <c r="Q7" s="17">
        <f t="shared" ref="Q7:Q26" si="3">SUM(F7+O7+N7+M7+L7+I7)-P7</f>
        <v>53.24799999999999</v>
      </c>
      <c r="R7" s="19">
        <f t="shared" ref="R7:R26" si="4">SUM(G7+O7+N7+M7+L7+J7)-P7</f>
        <v>55.955799999999996</v>
      </c>
      <c r="S7" s="17">
        <f t="shared" ref="S7:T7" si="5">$S$4-Q7</f>
        <v>59.75200000000001</v>
      </c>
      <c r="T7" s="17">
        <f t="shared" si="5"/>
        <v>57.044200000000004</v>
      </c>
      <c r="U7" s="13"/>
    </row>
    <row r="8" spans="1:22" ht="15" customHeight="1" x14ac:dyDescent="0.25">
      <c r="B8" s="27"/>
      <c r="C8" s="14" t="s">
        <v>43</v>
      </c>
      <c r="D8" s="15" t="s">
        <v>32</v>
      </c>
      <c r="E8" s="16">
        <f t="shared" ref="E8:E26" si="6">30+21+56</f>
        <v>107</v>
      </c>
      <c r="F8" s="17">
        <f t="shared" ref="F8:F26" si="7">E8*$F$6</f>
        <v>9.4159999999999986</v>
      </c>
      <c r="G8" s="17">
        <f t="shared" ref="G8:G26" si="8">E8*$G$6</f>
        <v>11.663</v>
      </c>
      <c r="H8" s="10">
        <f>(3.5*1)+10+5.5</f>
        <v>19</v>
      </c>
      <c r="I8" s="17">
        <f t="shared" si="0"/>
        <v>2.4130000000000003</v>
      </c>
      <c r="J8" s="17">
        <f t="shared" si="1"/>
        <v>2.9601999999999999</v>
      </c>
      <c r="K8" s="10">
        <f t="shared" ref="K8:K10" si="9">(7*2)</f>
        <v>14</v>
      </c>
      <c r="L8" s="18">
        <f t="shared" si="2"/>
        <v>2.8000000000000003</v>
      </c>
      <c r="M8" s="7">
        <f t="shared" ref="M8:M10" si="10">10+3+3+10</f>
        <v>26</v>
      </c>
      <c r="N8" s="15">
        <f t="shared" ref="N8:N26" si="11">8+4</f>
        <v>12</v>
      </c>
      <c r="O8" s="7">
        <v>1</v>
      </c>
      <c r="P8" s="7">
        <v>0</v>
      </c>
      <c r="Q8" s="17">
        <f t="shared" si="3"/>
        <v>53.628999999999991</v>
      </c>
      <c r="R8" s="19">
        <f t="shared" si="4"/>
        <v>56.423199999999994</v>
      </c>
      <c r="S8" s="17">
        <f t="shared" ref="S8:T8" si="12">$S$4-Q8</f>
        <v>59.371000000000009</v>
      </c>
      <c r="T8" s="17">
        <f t="shared" si="12"/>
        <v>56.576800000000006</v>
      </c>
      <c r="U8" s="13"/>
    </row>
    <row r="9" spans="1:22" ht="15" customHeight="1" x14ac:dyDescent="0.25">
      <c r="B9" s="27"/>
      <c r="C9" s="14" t="s">
        <v>44</v>
      </c>
      <c r="D9" s="15" t="s">
        <v>32</v>
      </c>
      <c r="E9" s="16">
        <f t="shared" si="6"/>
        <v>107</v>
      </c>
      <c r="F9" s="17">
        <f t="shared" si="7"/>
        <v>9.4159999999999986</v>
      </c>
      <c r="G9" s="17">
        <f t="shared" si="8"/>
        <v>11.663</v>
      </c>
      <c r="H9" s="10">
        <f>(3.5*1)+10+5.5</f>
        <v>19</v>
      </c>
      <c r="I9" s="17">
        <f t="shared" si="0"/>
        <v>2.4130000000000003</v>
      </c>
      <c r="J9" s="17">
        <f t="shared" si="1"/>
        <v>2.9601999999999999</v>
      </c>
      <c r="K9" s="10">
        <f t="shared" si="9"/>
        <v>14</v>
      </c>
      <c r="L9" s="18">
        <f t="shared" si="2"/>
        <v>2.8000000000000003</v>
      </c>
      <c r="M9" s="7">
        <f t="shared" si="10"/>
        <v>26</v>
      </c>
      <c r="N9" s="15">
        <f t="shared" si="11"/>
        <v>12</v>
      </c>
      <c r="O9" s="7">
        <v>1</v>
      </c>
      <c r="P9" s="7">
        <v>0</v>
      </c>
      <c r="Q9" s="17">
        <f t="shared" si="3"/>
        <v>53.628999999999991</v>
      </c>
      <c r="R9" s="19">
        <f t="shared" si="4"/>
        <v>56.423199999999994</v>
      </c>
      <c r="S9" s="17">
        <f t="shared" ref="S9:T9" si="13">$S$4-Q9</f>
        <v>59.371000000000009</v>
      </c>
      <c r="T9" s="17">
        <f t="shared" si="13"/>
        <v>56.576800000000006</v>
      </c>
      <c r="U9" s="13"/>
    </row>
    <row r="10" spans="1:22" ht="15" customHeight="1" x14ac:dyDescent="0.25">
      <c r="B10" s="27"/>
      <c r="C10" s="14" t="s">
        <v>44</v>
      </c>
      <c r="D10" s="15" t="s">
        <v>32</v>
      </c>
      <c r="E10" s="16">
        <f t="shared" si="6"/>
        <v>107</v>
      </c>
      <c r="F10" s="17">
        <f t="shared" si="7"/>
        <v>9.4159999999999986</v>
      </c>
      <c r="G10" s="17">
        <f t="shared" si="8"/>
        <v>11.663</v>
      </c>
      <c r="H10" s="10">
        <f>(3.5*1)+11+5.5</f>
        <v>20</v>
      </c>
      <c r="I10" s="17">
        <f t="shared" si="0"/>
        <v>2.54</v>
      </c>
      <c r="J10" s="17">
        <f t="shared" si="1"/>
        <v>3.1159999999999997</v>
      </c>
      <c r="K10" s="10">
        <f t="shared" si="9"/>
        <v>14</v>
      </c>
      <c r="L10" s="18">
        <f t="shared" si="2"/>
        <v>2.8000000000000003</v>
      </c>
      <c r="M10" s="7">
        <f t="shared" si="10"/>
        <v>26</v>
      </c>
      <c r="N10" s="15">
        <f t="shared" si="11"/>
        <v>12</v>
      </c>
      <c r="O10" s="7">
        <v>1</v>
      </c>
      <c r="P10" s="7">
        <v>0</v>
      </c>
      <c r="Q10" s="17">
        <f t="shared" si="3"/>
        <v>53.755999999999993</v>
      </c>
      <c r="R10" s="19">
        <f t="shared" si="4"/>
        <v>56.578999999999994</v>
      </c>
      <c r="S10" s="17">
        <f t="shared" ref="S10:T10" si="14">$S$4-Q10</f>
        <v>59.244000000000007</v>
      </c>
      <c r="T10" s="17">
        <f t="shared" si="14"/>
        <v>56.421000000000006</v>
      </c>
      <c r="U10" s="13"/>
    </row>
    <row r="11" spans="1:22" ht="15" customHeight="1" x14ac:dyDescent="0.25">
      <c r="B11" s="26" t="s">
        <v>34</v>
      </c>
      <c r="C11" s="14" t="s">
        <v>43</v>
      </c>
      <c r="D11" s="15" t="s">
        <v>32</v>
      </c>
      <c r="E11" s="16">
        <f t="shared" si="6"/>
        <v>107</v>
      </c>
      <c r="F11" s="17">
        <f t="shared" si="7"/>
        <v>9.4159999999999986</v>
      </c>
      <c r="G11" s="17">
        <f t="shared" si="8"/>
        <v>11.663</v>
      </c>
      <c r="H11" s="10">
        <f>1+(3.5*1)+7+5.5</f>
        <v>17</v>
      </c>
      <c r="I11" s="17">
        <f t="shared" si="0"/>
        <v>2.1589999999999998</v>
      </c>
      <c r="J11" s="17">
        <f t="shared" si="1"/>
        <v>2.6486000000000001</v>
      </c>
      <c r="K11" s="10">
        <f>(6*2)</f>
        <v>12</v>
      </c>
      <c r="L11" s="18">
        <f t="shared" si="2"/>
        <v>2.4000000000000004</v>
      </c>
      <c r="M11" s="7">
        <f>10+3+15</f>
        <v>28</v>
      </c>
      <c r="N11" s="15">
        <f t="shared" si="11"/>
        <v>12</v>
      </c>
      <c r="O11" s="7">
        <v>1</v>
      </c>
      <c r="P11" s="7">
        <v>0</v>
      </c>
      <c r="Q11" s="17">
        <f t="shared" si="3"/>
        <v>54.974999999999994</v>
      </c>
      <c r="R11" s="19">
        <f t="shared" si="4"/>
        <v>57.711599999999997</v>
      </c>
      <c r="S11" s="17">
        <f t="shared" ref="S11:T11" si="15">$S$4-Q11</f>
        <v>58.025000000000006</v>
      </c>
      <c r="T11" s="17">
        <f t="shared" si="15"/>
        <v>55.288400000000003</v>
      </c>
      <c r="U11" s="13"/>
    </row>
    <row r="12" spans="1:22" ht="15" customHeight="1" x14ac:dyDescent="0.25">
      <c r="B12" s="27"/>
      <c r="C12" s="14" t="s">
        <v>43</v>
      </c>
      <c r="D12" s="15" t="s">
        <v>32</v>
      </c>
      <c r="E12" s="16">
        <f t="shared" si="6"/>
        <v>107</v>
      </c>
      <c r="F12" s="17">
        <f t="shared" si="7"/>
        <v>9.4159999999999986</v>
      </c>
      <c r="G12" s="17">
        <f t="shared" si="8"/>
        <v>11.663</v>
      </c>
      <c r="H12" s="10">
        <f>1+(3.5*1)+10+5.5</f>
        <v>20</v>
      </c>
      <c r="I12" s="17">
        <f t="shared" si="0"/>
        <v>2.54</v>
      </c>
      <c r="J12" s="17">
        <f t="shared" si="1"/>
        <v>3.1159999999999997</v>
      </c>
      <c r="K12" s="10">
        <f t="shared" ref="K12:K14" si="16">(6*2)</f>
        <v>12</v>
      </c>
      <c r="L12" s="18">
        <f t="shared" si="2"/>
        <v>2.4000000000000004</v>
      </c>
      <c r="M12" s="7">
        <f t="shared" ref="M12:M14" si="17">10+3+15</f>
        <v>28</v>
      </c>
      <c r="N12" s="15">
        <f t="shared" si="11"/>
        <v>12</v>
      </c>
      <c r="O12" s="7">
        <v>1</v>
      </c>
      <c r="P12" s="7">
        <v>0</v>
      </c>
      <c r="Q12" s="17">
        <f t="shared" si="3"/>
        <v>55.355999999999995</v>
      </c>
      <c r="R12" s="19">
        <f t="shared" si="4"/>
        <v>58.178999999999995</v>
      </c>
      <c r="S12" s="17">
        <f t="shared" ref="S12:T12" si="18">$S$4-Q12</f>
        <v>57.644000000000005</v>
      </c>
      <c r="T12" s="17">
        <f t="shared" si="18"/>
        <v>54.821000000000005</v>
      </c>
      <c r="U12" s="13"/>
    </row>
    <row r="13" spans="1:22" ht="15" customHeight="1" x14ac:dyDescent="0.25">
      <c r="B13" s="27"/>
      <c r="C13" s="14" t="s">
        <v>44</v>
      </c>
      <c r="D13" s="15" t="s">
        <v>32</v>
      </c>
      <c r="E13" s="16">
        <f t="shared" si="6"/>
        <v>107</v>
      </c>
      <c r="F13" s="17">
        <f t="shared" si="7"/>
        <v>9.4159999999999986</v>
      </c>
      <c r="G13" s="17">
        <f t="shared" si="8"/>
        <v>11.663</v>
      </c>
      <c r="H13" s="10">
        <f>1+(3.5*1)+10+5.5</f>
        <v>20</v>
      </c>
      <c r="I13" s="17">
        <f t="shared" si="0"/>
        <v>2.54</v>
      </c>
      <c r="J13" s="17">
        <f t="shared" si="1"/>
        <v>3.1159999999999997</v>
      </c>
      <c r="K13" s="10">
        <f t="shared" si="16"/>
        <v>12</v>
      </c>
      <c r="L13" s="18">
        <f t="shared" si="2"/>
        <v>2.4000000000000004</v>
      </c>
      <c r="M13" s="7">
        <f t="shared" si="17"/>
        <v>28</v>
      </c>
      <c r="N13" s="15">
        <f t="shared" si="11"/>
        <v>12</v>
      </c>
      <c r="O13" s="7">
        <v>1</v>
      </c>
      <c r="P13" s="7">
        <v>0</v>
      </c>
      <c r="Q13" s="17">
        <f t="shared" si="3"/>
        <v>55.355999999999995</v>
      </c>
      <c r="R13" s="19">
        <f t="shared" si="4"/>
        <v>58.178999999999995</v>
      </c>
      <c r="S13" s="17">
        <f t="shared" ref="S13:T13" si="19">$S$4-Q13</f>
        <v>57.644000000000005</v>
      </c>
      <c r="T13" s="17">
        <f t="shared" si="19"/>
        <v>54.821000000000005</v>
      </c>
      <c r="U13" s="13"/>
    </row>
    <row r="14" spans="1:22" ht="15" customHeight="1" x14ac:dyDescent="0.25">
      <c r="B14" s="27"/>
      <c r="C14" s="14" t="s">
        <v>44</v>
      </c>
      <c r="D14" s="15" t="s">
        <v>32</v>
      </c>
      <c r="E14" s="16">
        <f t="shared" si="6"/>
        <v>107</v>
      </c>
      <c r="F14" s="17">
        <f t="shared" si="7"/>
        <v>9.4159999999999986</v>
      </c>
      <c r="G14" s="17">
        <f t="shared" si="8"/>
        <v>11.663</v>
      </c>
      <c r="H14" s="10">
        <f>1+(3.5*1)+11+5.5</f>
        <v>21</v>
      </c>
      <c r="I14" s="17">
        <f t="shared" si="0"/>
        <v>2.6669999999999998</v>
      </c>
      <c r="J14" s="17">
        <f t="shared" si="1"/>
        <v>3.2717999999999998</v>
      </c>
      <c r="K14" s="10">
        <f t="shared" si="16"/>
        <v>12</v>
      </c>
      <c r="L14" s="18">
        <f t="shared" si="2"/>
        <v>2.4000000000000004</v>
      </c>
      <c r="M14" s="7">
        <f t="shared" si="17"/>
        <v>28</v>
      </c>
      <c r="N14" s="15">
        <f t="shared" si="11"/>
        <v>12</v>
      </c>
      <c r="O14" s="7">
        <v>1</v>
      </c>
      <c r="P14" s="7">
        <v>0</v>
      </c>
      <c r="Q14" s="17">
        <f t="shared" si="3"/>
        <v>55.482999999999997</v>
      </c>
      <c r="R14" s="19">
        <f t="shared" si="4"/>
        <v>58.334799999999994</v>
      </c>
      <c r="S14" s="17">
        <f t="shared" ref="S14:T14" si="20">$S$4-Q14</f>
        <v>57.517000000000003</v>
      </c>
      <c r="T14" s="17">
        <f t="shared" si="20"/>
        <v>54.665200000000006</v>
      </c>
      <c r="U14" s="13"/>
    </row>
    <row r="15" spans="1:22" ht="15" customHeight="1" x14ac:dyDescent="0.25">
      <c r="B15" s="26" t="s">
        <v>35</v>
      </c>
      <c r="C15" s="14" t="s">
        <v>43</v>
      </c>
      <c r="D15" s="15" t="s">
        <v>32</v>
      </c>
      <c r="E15" s="16">
        <f t="shared" si="6"/>
        <v>107</v>
      </c>
      <c r="F15" s="17">
        <f t="shared" si="7"/>
        <v>9.4159999999999986</v>
      </c>
      <c r="G15" s="17">
        <f t="shared" si="8"/>
        <v>11.663</v>
      </c>
      <c r="H15" s="10">
        <f>1+(3.5*0)+7+5.5</f>
        <v>13.5</v>
      </c>
      <c r="I15" s="17">
        <f t="shared" si="0"/>
        <v>1.7145000000000001</v>
      </c>
      <c r="J15" s="17">
        <f t="shared" si="1"/>
        <v>2.1032999999999999</v>
      </c>
      <c r="K15" s="10">
        <f>(5*2)</f>
        <v>10</v>
      </c>
      <c r="L15" s="18">
        <f t="shared" si="2"/>
        <v>2</v>
      </c>
      <c r="M15" s="7">
        <f>10+17</f>
        <v>27</v>
      </c>
      <c r="N15" s="15">
        <f t="shared" si="11"/>
        <v>12</v>
      </c>
      <c r="O15" s="7">
        <v>1</v>
      </c>
      <c r="P15" s="7">
        <v>0</v>
      </c>
      <c r="Q15" s="17">
        <f t="shared" si="3"/>
        <v>53.130499999999998</v>
      </c>
      <c r="R15" s="19">
        <f t="shared" si="4"/>
        <v>55.766299999999994</v>
      </c>
      <c r="S15" s="17">
        <f t="shared" ref="S15:T15" si="21">$S$4-Q15</f>
        <v>59.869500000000002</v>
      </c>
      <c r="T15" s="17">
        <f t="shared" si="21"/>
        <v>57.233700000000006</v>
      </c>
      <c r="U15" s="13"/>
    </row>
    <row r="16" spans="1:22" ht="15" customHeight="1" x14ac:dyDescent="0.25">
      <c r="B16" s="27"/>
      <c r="C16" s="14" t="s">
        <v>43</v>
      </c>
      <c r="D16" s="15" t="s">
        <v>32</v>
      </c>
      <c r="E16" s="16">
        <f t="shared" si="6"/>
        <v>107</v>
      </c>
      <c r="F16" s="17">
        <f t="shared" si="7"/>
        <v>9.4159999999999986</v>
      </c>
      <c r="G16" s="17">
        <f t="shared" si="8"/>
        <v>11.663</v>
      </c>
      <c r="H16" s="10">
        <f>1+(3.5*0)+10+5.5</f>
        <v>16.5</v>
      </c>
      <c r="I16" s="17">
        <f t="shared" si="0"/>
        <v>2.0954999999999999</v>
      </c>
      <c r="J16" s="17">
        <f t="shared" si="1"/>
        <v>2.5707</v>
      </c>
      <c r="K16" s="10">
        <f t="shared" ref="K16:K22" si="22">(5*2)</f>
        <v>10</v>
      </c>
      <c r="L16" s="18">
        <f t="shared" si="2"/>
        <v>2</v>
      </c>
      <c r="M16" s="7">
        <f t="shared" ref="M16:M22" si="23">10+17</f>
        <v>27</v>
      </c>
      <c r="N16" s="15">
        <f t="shared" si="11"/>
        <v>12</v>
      </c>
      <c r="O16" s="7">
        <v>1</v>
      </c>
      <c r="P16" s="7">
        <v>0</v>
      </c>
      <c r="Q16" s="17">
        <f t="shared" si="3"/>
        <v>53.511499999999998</v>
      </c>
      <c r="R16" s="19">
        <f t="shared" si="4"/>
        <v>56.233699999999999</v>
      </c>
      <c r="S16" s="17">
        <f t="shared" ref="S16:T16" si="24">$S$4-Q16</f>
        <v>59.488500000000002</v>
      </c>
      <c r="T16" s="17">
        <f t="shared" si="24"/>
        <v>56.766300000000001</v>
      </c>
      <c r="U16" s="13"/>
    </row>
    <row r="17" spans="1:23" ht="15" customHeight="1" x14ac:dyDescent="0.25">
      <c r="B17" s="27"/>
      <c r="C17" s="14" t="s">
        <v>44</v>
      </c>
      <c r="D17" s="15" t="s">
        <v>32</v>
      </c>
      <c r="E17" s="16">
        <f t="shared" si="6"/>
        <v>107</v>
      </c>
      <c r="F17" s="17">
        <f t="shared" si="7"/>
        <v>9.4159999999999986</v>
      </c>
      <c r="G17" s="17">
        <f t="shared" si="8"/>
        <v>11.663</v>
      </c>
      <c r="H17" s="10">
        <f>1+(3.5*0)+10+5.5</f>
        <v>16.5</v>
      </c>
      <c r="I17" s="17">
        <f t="shared" si="0"/>
        <v>2.0954999999999999</v>
      </c>
      <c r="J17" s="17">
        <f t="shared" si="1"/>
        <v>2.5707</v>
      </c>
      <c r="K17" s="10">
        <f t="shared" si="22"/>
        <v>10</v>
      </c>
      <c r="L17" s="18">
        <f t="shared" si="2"/>
        <v>2</v>
      </c>
      <c r="M17" s="7">
        <f t="shared" si="23"/>
        <v>27</v>
      </c>
      <c r="N17" s="15">
        <f t="shared" si="11"/>
        <v>12</v>
      </c>
      <c r="O17" s="7">
        <v>1</v>
      </c>
      <c r="P17" s="7">
        <v>0</v>
      </c>
      <c r="Q17" s="17">
        <f t="shared" si="3"/>
        <v>53.511499999999998</v>
      </c>
      <c r="R17" s="19">
        <f t="shared" si="4"/>
        <v>56.233699999999999</v>
      </c>
      <c r="S17" s="17">
        <f t="shared" ref="S17:T17" si="25">$S$4-Q17</f>
        <v>59.488500000000002</v>
      </c>
      <c r="T17" s="17">
        <f t="shared" si="25"/>
        <v>56.766300000000001</v>
      </c>
      <c r="U17" s="13"/>
    </row>
    <row r="18" spans="1:23" ht="15" customHeight="1" x14ac:dyDescent="0.25">
      <c r="B18" s="27"/>
      <c r="C18" s="14" t="s">
        <v>44</v>
      </c>
      <c r="D18" s="15" t="s">
        <v>32</v>
      </c>
      <c r="E18" s="16">
        <f t="shared" si="6"/>
        <v>107</v>
      </c>
      <c r="F18" s="17">
        <f t="shared" si="7"/>
        <v>9.4159999999999986</v>
      </c>
      <c r="G18" s="17">
        <f t="shared" si="8"/>
        <v>11.663</v>
      </c>
      <c r="H18" s="10">
        <f>1+(3.5*0)+11+5.5</f>
        <v>17.5</v>
      </c>
      <c r="I18" s="17">
        <f t="shared" si="0"/>
        <v>2.2225000000000001</v>
      </c>
      <c r="J18" s="17">
        <f t="shared" si="1"/>
        <v>2.7264999999999997</v>
      </c>
      <c r="K18" s="10">
        <f t="shared" si="22"/>
        <v>10</v>
      </c>
      <c r="L18" s="18">
        <f t="shared" si="2"/>
        <v>2</v>
      </c>
      <c r="M18" s="7">
        <f t="shared" si="23"/>
        <v>27</v>
      </c>
      <c r="N18" s="15">
        <f t="shared" si="11"/>
        <v>12</v>
      </c>
      <c r="O18" s="7">
        <v>1</v>
      </c>
      <c r="P18" s="7">
        <v>0</v>
      </c>
      <c r="Q18" s="17">
        <f t="shared" si="3"/>
        <v>53.638499999999993</v>
      </c>
      <c r="R18" s="19">
        <f t="shared" si="4"/>
        <v>56.389499999999998</v>
      </c>
      <c r="S18" s="17">
        <f t="shared" ref="S18:T18" si="26">$S$4-Q18</f>
        <v>59.361500000000007</v>
      </c>
      <c r="T18" s="17">
        <f t="shared" si="26"/>
        <v>56.610500000000002</v>
      </c>
      <c r="U18" s="13"/>
    </row>
    <row r="19" spans="1:23" ht="15" customHeight="1" x14ac:dyDescent="0.25">
      <c r="B19" s="26" t="s">
        <v>36</v>
      </c>
      <c r="C19" s="14" t="s">
        <v>43</v>
      </c>
      <c r="D19" s="15" t="s">
        <v>32</v>
      </c>
      <c r="E19" s="16">
        <f t="shared" si="6"/>
        <v>107</v>
      </c>
      <c r="F19" s="17">
        <f t="shared" si="7"/>
        <v>9.4159999999999986</v>
      </c>
      <c r="G19" s="17">
        <f t="shared" si="8"/>
        <v>11.663</v>
      </c>
      <c r="H19" s="10">
        <f>(3.5*1)+7+5.5</f>
        <v>16</v>
      </c>
      <c r="I19" s="17">
        <f t="shared" si="0"/>
        <v>2.032</v>
      </c>
      <c r="J19" s="17">
        <f t="shared" si="1"/>
        <v>2.4927999999999999</v>
      </c>
      <c r="K19" s="10">
        <f t="shared" si="22"/>
        <v>10</v>
      </c>
      <c r="L19" s="18">
        <f t="shared" si="2"/>
        <v>2</v>
      </c>
      <c r="M19" s="7">
        <f t="shared" si="23"/>
        <v>27</v>
      </c>
      <c r="N19" s="15">
        <f t="shared" si="11"/>
        <v>12</v>
      </c>
      <c r="O19" s="7">
        <v>1</v>
      </c>
      <c r="P19" s="7">
        <v>0</v>
      </c>
      <c r="Q19" s="17">
        <f t="shared" si="3"/>
        <v>53.447999999999993</v>
      </c>
      <c r="R19" s="19">
        <f t="shared" si="4"/>
        <v>56.155799999999999</v>
      </c>
      <c r="S19" s="17">
        <f t="shared" ref="S19:T19" si="27">$S$4-Q19</f>
        <v>59.552000000000007</v>
      </c>
      <c r="T19" s="17">
        <f t="shared" si="27"/>
        <v>56.844200000000001</v>
      </c>
      <c r="U19" s="13"/>
    </row>
    <row r="20" spans="1:23" ht="15" customHeight="1" x14ac:dyDescent="0.25">
      <c r="B20" s="27"/>
      <c r="C20" s="14" t="s">
        <v>43</v>
      </c>
      <c r="D20" s="15" t="s">
        <v>32</v>
      </c>
      <c r="E20" s="16">
        <f t="shared" si="6"/>
        <v>107</v>
      </c>
      <c r="F20" s="17">
        <f t="shared" si="7"/>
        <v>9.4159999999999986</v>
      </c>
      <c r="G20" s="17">
        <f t="shared" si="8"/>
        <v>11.663</v>
      </c>
      <c r="H20" s="10">
        <f>(3.5*1)+10+5.5</f>
        <v>19</v>
      </c>
      <c r="I20" s="17">
        <f t="shared" si="0"/>
        <v>2.4130000000000003</v>
      </c>
      <c r="J20" s="17">
        <f t="shared" si="1"/>
        <v>2.9601999999999999</v>
      </c>
      <c r="K20" s="10">
        <f t="shared" si="22"/>
        <v>10</v>
      </c>
      <c r="L20" s="18">
        <f t="shared" si="2"/>
        <v>2</v>
      </c>
      <c r="M20" s="7">
        <f t="shared" si="23"/>
        <v>27</v>
      </c>
      <c r="N20" s="15">
        <f t="shared" si="11"/>
        <v>12</v>
      </c>
      <c r="O20" s="7">
        <v>1</v>
      </c>
      <c r="P20" s="7">
        <v>0</v>
      </c>
      <c r="Q20" s="17">
        <f t="shared" si="3"/>
        <v>53.828999999999994</v>
      </c>
      <c r="R20" s="19">
        <f t="shared" si="4"/>
        <v>56.623199999999997</v>
      </c>
      <c r="S20" s="17">
        <f t="shared" ref="S20:T20" si="28">$S$4-Q20</f>
        <v>59.171000000000006</v>
      </c>
      <c r="T20" s="17">
        <f t="shared" si="28"/>
        <v>56.376800000000003</v>
      </c>
      <c r="U20" s="13"/>
    </row>
    <row r="21" spans="1:23" ht="15" customHeight="1" x14ac:dyDescent="0.25">
      <c r="B21" s="27"/>
      <c r="C21" s="14" t="s">
        <v>44</v>
      </c>
      <c r="D21" s="15" t="s">
        <v>32</v>
      </c>
      <c r="E21" s="16">
        <f t="shared" si="6"/>
        <v>107</v>
      </c>
      <c r="F21" s="17">
        <f t="shared" si="7"/>
        <v>9.4159999999999986</v>
      </c>
      <c r="G21" s="17">
        <f t="shared" si="8"/>
        <v>11.663</v>
      </c>
      <c r="H21" s="10">
        <f>(3.5*1)+10+5.5</f>
        <v>19</v>
      </c>
      <c r="I21" s="17">
        <f t="shared" si="0"/>
        <v>2.4130000000000003</v>
      </c>
      <c r="J21" s="17">
        <f t="shared" si="1"/>
        <v>2.9601999999999999</v>
      </c>
      <c r="K21" s="10">
        <f>(5*2)</f>
        <v>10</v>
      </c>
      <c r="L21" s="18">
        <f t="shared" si="2"/>
        <v>2</v>
      </c>
      <c r="M21" s="7">
        <f t="shared" si="23"/>
        <v>27</v>
      </c>
      <c r="N21" s="15">
        <f t="shared" si="11"/>
        <v>12</v>
      </c>
      <c r="O21" s="7">
        <v>1</v>
      </c>
      <c r="P21" s="7">
        <v>0</v>
      </c>
      <c r="Q21" s="17">
        <f t="shared" si="3"/>
        <v>53.828999999999994</v>
      </c>
      <c r="R21" s="19">
        <f t="shared" si="4"/>
        <v>56.623199999999997</v>
      </c>
      <c r="S21" s="17">
        <f t="shared" ref="S21:T21" si="29">$S$4-Q21</f>
        <v>59.171000000000006</v>
      </c>
      <c r="T21" s="17">
        <f t="shared" si="29"/>
        <v>56.376800000000003</v>
      </c>
      <c r="U21" s="13"/>
    </row>
    <row r="22" spans="1:23" ht="15" customHeight="1" x14ac:dyDescent="0.25">
      <c r="B22" s="27"/>
      <c r="C22" s="14" t="s">
        <v>44</v>
      </c>
      <c r="D22" s="15" t="s">
        <v>32</v>
      </c>
      <c r="E22" s="16">
        <f t="shared" si="6"/>
        <v>107</v>
      </c>
      <c r="F22" s="17">
        <f t="shared" si="7"/>
        <v>9.4159999999999986</v>
      </c>
      <c r="G22" s="17">
        <f t="shared" si="8"/>
        <v>11.663</v>
      </c>
      <c r="H22" s="10">
        <f>(3.5*1)+11+5.5</f>
        <v>20</v>
      </c>
      <c r="I22" s="17">
        <f t="shared" si="0"/>
        <v>2.54</v>
      </c>
      <c r="J22" s="17">
        <f t="shared" si="1"/>
        <v>3.1159999999999997</v>
      </c>
      <c r="K22" s="10">
        <f t="shared" si="22"/>
        <v>10</v>
      </c>
      <c r="L22" s="18">
        <f t="shared" si="2"/>
        <v>2</v>
      </c>
      <c r="M22" s="7">
        <f t="shared" si="23"/>
        <v>27</v>
      </c>
      <c r="N22" s="15">
        <f t="shared" si="11"/>
        <v>12</v>
      </c>
      <c r="O22" s="7">
        <v>1</v>
      </c>
      <c r="P22" s="7">
        <v>0</v>
      </c>
      <c r="Q22" s="17">
        <f t="shared" si="3"/>
        <v>53.955999999999996</v>
      </c>
      <c r="R22" s="19">
        <f t="shared" si="4"/>
        <v>56.778999999999996</v>
      </c>
      <c r="S22" s="17">
        <f t="shared" ref="S22:T22" si="30">$S$4-Q22</f>
        <v>59.044000000000004</v>
      </c>
      <c r="T22" s="17">
        <f t="shared" si="30"/>
        <v>56.221000000000004</v>
      </c>
      <c r="U22" s="13"/>
    </row>
    <row r="23" spans="1:23" ht="15" customHeight="1" x14ac:dyDescent="0.25">
      <c r="B23" s="26" t="s">
        <v>37</v>
      </c>
      <c r="C23" s="14" t="s">
        <v>43</v>
      </c>
      <c r="D23" s="15" t="s">
        <v>32</v>
      </c>
      <c r="E23" s="16">
        <f t="shared" si="6"/>
        <v>107</v>
      </c>
      <c r="F23" s="17">
        <f t="shared" si="7"/>
        <v>9.4159999999999986</v>
      </c>
      <c r="G23" s="17">
        <f t="shared" si="8"/>
        <v>11.663</v>
      </c>
      <c r="H23" s="10">
        <f>(3.5*2)+7+5.5</f>
        <v>19.5</v>
      </c>
      <c r="I23" s="17">
        <f t="shared" si="0"/>
        <v>2.4765000000000001</v>
      </c>
      <c r="J23" s="17">
        <f t="shared" si="1"/>
        <v>3.0381</v>
      </c>
      <c r="K23" s="10">
        <f>(6*2)</f>
        <v>12</v>
      </c>
      <c r="L23" s="18">
        <f t="shared" si="2"/>
        <v>2.4000000000000004</v>
      </c>
      <c r="M23" s="7">
        <f>10+3+15</f>
        <v>28</v>
      </c>
      <c r="N23" s="15">
        <f t="shared" si="11"/>
        <v>12</v>
      </c>
      <c r="O23" s="7">
        <v>1</v>
      </c>
      <c r="P23" s="7">
        <v>0</v>
      </c>
      <c r="Q23" s="17">
        <f t="shared" si="3"/>
        <v>55.292499999999997</v>
      </c>
      <c r="R23" s="19">
        <f t="shared" si="4"/>
        <v>58.101099999999995</v>
      </c>
      <c r="S23" s="17">
        <f t="shared" ref="S23:T23" si="31">$S$4-Q23</f>
        <v>57.707500000000003</v>
      </c>
      <c r="T23" s="17">
        <f t="shared" si="31"/>
        <v>54.898900000000005</v>
      </c>
      <c r="U23" s="13"/>
    </row>
    <row r="24" spans="1:23" ht="15" customHeight="1" x14ac:dyDescent="0.25">
      <c r="B24" s="27"/>
      <c r="C24" s="14" t="s">
        <v>43</v>
      </c>
      <c r="D24" s="15" t="s">
        <v>32</v>
      </c>
      <c r="E24" s="16">
        <f t="shared" si="6"/>
        <v>107</v>
      </c>
      <c r="F24" s="17">
        <f t="shared" si="7"/>
        <v>9.4159999999999986</v>
      </c>
      <c r="G24" s="17">
        <f t="shared" si="8"/>
        <v>11.663</v>
      </c>
      <c r="H24" s="10">
        <f>(3.5*2)+10+5.5</f>
        <v>22.5</v>
      </c>
      <c r="I24" s="17">
        <f t="shared" si="0"/>
        <v>2.8574999999999999</v>
      </c>
      <c r="J24" s="17">
        <f t="shared" si="1"/>
        <v>3.5055000000000001</v>
      </c>
      <c r="K24" s="10">
        <f t="shared" ref="K24:K26" si="32">(6*2)</f>
        <v>12</v>
      </c>
      <c r="L24" s="18">
        <f t="shared" si="2"/>
        <v>2.4000000000000004</v>
      </c>
      <c r="M24" s="7">
        <f t="shared" ref="M24:M26" si="33">10+3+15</f>
        <v>28</v>
      </c>
      <c r="N24" s="15">
        <f t="shared" si="11"/>
        <v>12</v>
      </c>
      <c r="O24" s="7">
        <v>1</v>
      </c>
      <c r="P24" s="7">
        <v>0</v>
      </c>
      <c r="Q24" s="17">
        <f t="shared" si="3"/>
        <v>55.673499999999997</v>
      </c>
      <c r="R24" s="19">
        <f t="shared" si="4"/>
        <v>58.568499999999993</v>
      </c>
      <c r="S24" s="17">
        <f t="shared" ref="S24:T24" si="34">$S$4-Q24</f>
        <v>57.326500000000003</v>
      </c>
      <c r="T24" s="17">
        <f t="shared" si="34"/>
        <v>54.431500000000007</v>
      </c>
      <c r="U24" s="13"/>
    </row>
    <row r="25" spans="1:23" ht="15" customHeight="1" x14ac:dyDescent="0.25">
      <c r="B25" s="27"/>
      <c r="C25" s="14" t="s">
        <v>44</v>
      </c>
      <c r="D25" s="15" t="s">
        <v>32</v>
      </c>
      <c r="E25" s="16">
        <f t="shared" si="6"/>
        <v>107</v>
      </c>
      <c r="F25" s="17">
        <f t="shared" si="7"/>
        <v>9.4159999999999986</v>
      </c>
      <c r="G25" s="17">
        <f t="shared" si="8"/>
        <v>11.663</v>
      </c>
      <c r="H25" s="10">
        <f>(3.5*2)+10+5.5</f>
        <v>22.5</v>
      </c>
      <c r="I25" s="17">
        <f t="shared" si="0"/>
        <v>2.8574999999999999</v>
      </c>
      <c r="J25" s="17">
        <f t="shared" si="1"/>
        <v>3.5055000000000001</v>
      </c>
      <c r="K25" s="10">
        <f t="shared" si="32"/>
        <v>12</v>
      </c>
      <c r="L25" s="18">
        <f t="shared" si="2"/>
        <v>2.4000000000000004</v>
      </c>
      <c r="M25" s="7">
        <f t="shared" si="33"/>
        <v>28</v>
      </c>
      <c r="N25" s="15">
        <f t="shared" si="11"/>
        <v>12</v>
      </c>
      <c r="O25" s="7">
        <v>1</v>
      </c>
      <c r="P25" s="7">
        <v>0</v>
      </c>
      <c r="Q25" s="17">
        <f t="shared" si="3"/>
        <v>55.673499999999997</v>
      </c>
      <c r="R25" s="19">
        <f t="shared" si="4"/>
        <v>58.568499999999993</v>
      </c>
      <c r="S25" s="17">
        <f t="shared" ref="S25:T25" si="35">$S$4-Q25</f>
        <v>57.326500000000003</v>
      </c>
      <c r="T25" s="17">
        <f t="shared" si="35"/>
        <v>54.431500000000007</v>
      </c>
      <c r="U25" s="13"/>
    </row>
    <row r="26" spans="1:23" ht="15" customHeight="1" x14ac:dyDescent="0.25">
      <c r="B26" s="27"/>
      <c r="C26" s="14" t="s">
        <v>44</v>
      </c>
      <c r="D26" s="15" t="s">
        <v>32</v>
      </c>
      <c r="E26" s="16">
        <f t="shared" si="6"/>
        <v>107</v>
      </c>
      <c r="F26" s="17">
        <f t="shared" si="7"/>
        <v>9.4159999999999986</v>
      </c>
      <c r="G26" s="17">
        <f t="shared" si="8"/>
        <v>11.663</v>
      </c>
      <c r="H26" s="10">
        <f>(3.5*2)+11+5.5</f>
        <v>23.5</v>
      </c>
      <c r="I26" s="17">
        <f t="shared" si="0"/>
        <v>2.9845000000000002</v>
      </c>
      <c r="J26" s="17">
        <f t="shared" si="1"/>
        <v>3.6612999999999998</v>
      </c>
      <c r="K26" s="10">
        <f t="shared" si="32"/>
        <v>12</v>
      </c>
      <c r="L26" s="18">
        <f t="shared" si="2"/>
        <v>2.4000000000000004</v>
      </c>
      <c r="M26" s="7">
        <f t="shared" si="33"/>
        <v>28</v>
      </c>
      <c r="N26" s="15">
        <f t="shared" si="11"/>
        <v>12</v>
      </c>
      <c r="O26" s="7">
        <v>1</v>
      </c>
      <c r="P26" s="7">
        <v>0</v>
      </c>
      <c r="Q26" s="17">
        <f t="shared" si="3"/>
        <v>55.800499999999992</v>
      </c>
      <c r="R26" s="19">
        <f t="shared" si="4"/>
        <v>58.724299999999992</v>
      </c>
      <c r="S26" s="17">
        <f t="shared" ref="S26:T26" si="36">$S$4-Q26</f>
        <v>57.199500000000008</v>
      </c>
      <c r="T26" s="17">
        <f t="shared" si="36"/>
        <v>54.275700000000008</v>
      </c>
      <c r="U26" s="13"/>
    </row>
    <row r="27" spans="1:23" ht="15.75" customHeight="1" x14ac:dyDescent="0.25">
      <c r="J27" s="41" t="s">
        <v>45</v>
      </c>
      <c r="K27" s="42"/>
      <c r="L27" s="43"/>
      <c r="M27" s="46" t="s">
        <v>38</v>
      </c>
      <c r="N27" s="30"/>
      <c r="O27" s="30"/>
      <c r="P27" s="31"/>
      <c r="Q27" s="17">
        <f>MAX(Q7:Q26)</f>
        <v>55.800499999999992</v>
      </c>
      <c r="R27" s="17">
        <f>MAX(R7:R26)</f>
        <v>58.724299999999992</v>
      </c>
      <c r="S27" s="17">
        <f>MAX(S7:S26)</f>
        <v>59.869500000000002</v>
      </c>
      <c r="T27" s="17">
        <f>MAX(T7:T26)</f>
        <v>57.233700000000006</v>
      </c>
      <c r="U27" s="40" t="s">
        <v>39</v>
      </c>
      <c r="V27" s="30"/>
      <c r="W27" s="31"/>
    </row>
    <row r="28" spans="1:23" ht="15.75" customHeight="1" x14ac:dyDescent="0.25">
      <c r="J28" s="44"/>
      <c r="K28" s="25"/>
      <c r="L28" s="45"/>
      <c r="M28" s="46" t="s">
        <v>40</v>
      </c>
      <c r="N28" s="30"/>
      <c r="O28" s="30"/>
      <c r="P28" s="31"/>
      <c r="Q28" s="17">
        <f>MIN(Q7:Q26)</f>
        <v>53.130499999999998</v>
      </c>
      <c r="R28" s="17">
        <f>MIN(R7:R26)</f>
        <v>55.766299999999994</v>
      </c>
      <c r="S28" s="17">
        <f>MIN(S7:S26)</f>
        <v>57.199500000000008</v>
      </c>
      <c r="T28" s="17">
        <f>MIN(T7:T26)</f>
        <v>54.275700000000008</v>
      </c>
      <c r="U28" s="40" t="s">
        <v>41</v>
      </c>
      <c r="V28" s="30"/>
      <c r="W28" s="31"/>
    </row>
    <row r="29" spans="1:23" ht="15.75" customHeight="1" x14ac:dyDescent="0.25">
      <c r="S29" s="21">
        <f t="shared" ref="S29:T29" si="37">S27-S28</f>
        <v>2.6699999999999946</v>
      </c>
      <c r="T29" s="21">
        <f t="shared" si="37"/>
        <v>2.9579999999999984</v>
      </c>
      <c r="U29" s="40" t="s">
        <v>42</v>
      </c>
      <c r="V29" s="30"/>
      <c r="W29" s="31"/>
    </row>
    <row r="30" spans="1:23" ht="15" customHeight="1" x14ac:dyDescent="0.25">
      <c r="A30" s="1"/>
      <c r="B30" s="20"/>
      <c r="C30" s="20"/>
    </row>
    <row r="31" spans="1:23" ht="15.75" customHeight="1" x14ac:dyDescent="0.25"/>
    <row r="32" spans="1:2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24">
    <mergeCell ref="U28:W28"/>
    <mergeCell ref="U29:W29"/>
    <mergeCell ref="B7:B10"/>
    <mergeCell ref="B11:B14"/>
    <mergeCell ref="B15:B18"/>
    <mergeCell ref="B19:B22"/>
    <mergeCell ref="B23:B26"/>
    <mergeCell ref="U27:W27"/>
    <mergeCell ref="J27:L28"/>
    <mergeCell ref="M27:P27"/>
    <mergeCell ref="M28:P28"/>
    <mergeCell ref="A1:A6"/>
    <mergeCell ref="C1:U1"/>
    <mergeCell ref="B2:B6"/>
    <mergeCell ref="C2:C6"/>
    <mergeCell ref="D2:U2"/>
    <mergeCell ref="E3:G3"/>
    <mergeCell ref="I4:J4"/>
    <mergeCell ref="D3:D4"/>
    <mergeCell ref="E4:E5"/>
    <mergeCell ref="S3:T3"/>
    <mergeCell ref="S4:T4"/>
    <mergeCell ref="I3:J3"/>
    <mergeCell ref="K3:L3"/>
  </mergeCells>
  <phoneticPr fontId="6" type="noConversion"/>
  <conditionalFormatting sqref="S7:T26">
    <cfRule type="cellIs" dxfId="6" priority="1" operator="between">
      <formula>52</formula>
      <formula>68</formula>
    </cfRule>
    <cfRule type="cellIs" dxfId="5" priority="2" operator="lessThan">
      <formula>52</formula>
    </cfRule>
    <cfRule type="cellIs" dxfId="4" priority="3" operator="greaterThan">
      <formula>68</formula>
    </cfRule>
    <cfRule type="cellIs" dxfId="3" priority="4" operator="equal">
      <formula>#REF!</formula>
    </cfRule>
    <cfRule type="cellIs" dxfId="2" priority="5" operator="equal">
      <formula>#REF!</formula>
    </cfRule>
    <cfRule type="cellIs" dxfId="1" priority="6" operator="equal">
      <formula>#REF!</formula>
    </cfRule>
    <cfRule type="cellIs" dxfId="0" priority="7" operator="equal">
      <formula>#REF!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Juan Francisco Tuiran Tuiran</cp:lastModifiedBy>
  <dcterms:created xsi:type="dcterms:W3CDTF">2021-07-28T14:51:27Z</dcterms:created>
  <dcterms:modified xsi:type="dcterms:W3CDTF">2026-07-21T19:02:27Z</dcterms:modified>
</cp:coreProperties>
</file>